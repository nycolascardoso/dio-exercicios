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359c59c4c07b84/01. Pessoais/01. Conhecimento/13. Bootcamp Excel com IA/"/>
    </mc:Choice>
  </mc:AlternateContent>
  <xr:revisionPtr revIDLastSave="0" documentId="8_{F685B111-B34E-4912-8033-145B0833E334}" xr6:coauthVersionLast="47" xr6:coauthVersionMax="47" xr10:uidLastSave="{00000000-0000-0000-0000-000000000000}"/>
  <bookViews>
    <workbookView xWindow="14303" yWindow="-98" windowWidth="19394" windowHeight="11475" xr2:uid="{954160E5-3324-4E87-9A52-544D903A256D}"/>
  </bookViews>
  <sheets>
    <sheet name="Planilha1" sheetId="1" r:id="rId1"/>
    <sheet name="Planilha2" sheetId="2" r:id="rId2"/>
  </sheets>
  <definedNames>
    <definedName name="rendimento_carteira">Planilha1!$D$7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30" i="1"/>
  <c r="C31" i="1"/>
  <c r="C32" i="1"/>
  <c r="C33" i="1"/>
  <c r="C28" i="1"/>
  <c r="E3" i="2"/>
  <c r="E9" i="2"/>
  <c r="E15" i="2"/>
  <c r="A20" i="2"/>
  <c r="A19" i="2"/>
  <c r="A18" i="2"/>
  <c r="A17" i="2"/>
  <c r="A16" i="2"/>
  <c r="A15" i="2"/>
  <c r="A14" i="2"/>
  <c r="A13" i="2"/>
  <c r="A12" i="2"/>
  <c r="A11" i="2"/>
  <c r="A10" i="2"/>
  <c r="A9" i="2"/>
  <c r="A4" i="2"/>
  <c r="A5" i="2"/>
  <c r="A6" i="2"/>
  <c r="A7" i="2"/>
  <c r="A8" i="2"/>
  <c r="A3" i="2"/>
  <c r="D8" i="1"/>
  <c r="D11" i="1" s="1"/>
  <c r="C19" i="1" s="1"/>
  <c r="D19" i="1" s="1"/>
  <c r="D25" i="1" l="1"/>
  <c r="D32" i="1" s="1"/>
  <c r="C34" i="1"/>
  <c r="C18" i="1"/>
  <c r="D18" i="1" s="1"/>
  <c r="D14" i="1"/>
  <c r="D15" i="1" s="1"/>
  <c r="C22" i="1"/>
  <c r="D22" i="1" s="1"/>
  <c r="C21" i="1"/>
  <c r="D21" i="1" s="1"/>
  <c r="C20" i="1"/>
  <c r="D20" i="1" s="1"/>
  <c r="D33" i="1" l="1"/>
  <c r="D28" i="1"/>
  <c r="D29" i="1"/>
  <c r="D30" i="1"/>
  <c r="D31" i="1"/>
  <c r="D34" i="1" l="1"/>
</calcChain>
</file>

<file path=xl/sharedStrings.xml><?xml version="1.0" encoding="utf-8"?>
<sst xmlns="http://schemas.openxmlformats.org/spreadsheetml/2006/main" count="71" uniqueCount="36">
  <si>
    <t>Quanto Investir?</t>
  </si>
  <si>
    <t>Por quantos anos?</t>
  </si>
  <si>
    <t>Taxa de Rendimento Mensal?</t>
  </si>
  <si>
    <t>Dividendos mensais?</t>
  </si>
  <si>
    <t>Patrimônio acumulado?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</si>
  <si>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</si>
  <si>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</si>
  <si>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</si>
  <si>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</si>
  <si>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</si>
  <si>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</si>
  <si>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</si>
  <si>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</si>
  <si>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Configurações</t>
  </si>
  <si>
    <t>Salário</t>
  </si>
  <si>
    <t>Rendimento Carteira</t>
  </si>
  <si>
    <t>Sugestão Investimento</t>
  </si>
  <si>
    <t>Patrimônio</t>
  </si>
  <si>
    <t>Perfil</t>
  </si>
  <si>
    <t>VALOR A SER INVESTIDO POR MÊS</t>
  </si>
  <si>
    <t>Conservador</t>
  </si>
  <si>
    <t>TIPO DE FII</t>
  </si>
  <si>
    <t>PAPEL</t>
  </si>
  <si>
    <t>TIJOLO</t>
  </si>
  <si>
    <t>HÍBRIDOS</t>
  </si>
  <si>
    <t>FOFs</t>
  </si>
  <si>
    <t>DESENVOLVIMENTO</t>
  </si>
  <si>
    <t>HOTELARIAS</t>
  </si>
  <si>
    <t>Percentual Sugerido</t>
  </si>
  <si>
    <t>Valores</t>
  </si>
  <si>
    <t>TOTAL</t>
  </si>
  <si>
    <t>PERFIL</t>
  </si>
  <si>
    <t>%</t>
  </si>
  <si>
    <t>CHAVE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</si>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</sst>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  <numFmt numFmtId="165" formatCode="0.000%"/>
    <numFmt numFmtId="168" formatCode="&quot;R$&quot;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1" tint="4.9989318521683403E-2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/>
      <diagonal/>
    </border>
    <border>
      <left/>
      <right/>
      <top style="medium">
        <color theme="1" tint="4.9989318521683403E-2"/>
      </top>
      <bottom/>
      <diagonal/>
    </border>
    <border>
      <left/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 tint="4.9989318521683403E-2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 tint="4.9989318521683403E-2"/>
      </left>
      <right style="thin">
        <color theme="0" tint="-0.14999847407452621"/>
      </right>
      <top style="thin">
        <color theme="0" tint="-0.14999847407452621"/>
      </top>
      <bottom style="medium">
        <color theme="1" tint="4.9989318521683403E-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1" tint="4.9989318521683403E-2"/>
      </bottom>
      <diagonal/>
    </border>
    <border>
      <left style="thin">
        <color theme="0" tint="-0.14999847407452621"/>
      </left>
      <right style="medium">
        <color theme="1" tint="4.9989318521683403E-2"/>
      </right>
      <top style="thin">
        <color theme="0" tint="-0.14999847407452621"/>
      </top>
      <bottom style="medium">
        <color theme="1" tint="4.9989318521683403E-2"/>
      </bottom>
      <diagonal/>
    </border>
    <border>
      <left/>
      <right/>
      <top/>
      <bottom style="medium">
        <color theme="1" tint="4.9989318521683403E-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Border="1"/>
    <xf numFmtId="0" fontId="4" fillId="0" borderId="0" xfId="0" applyFont="1"/>
    <xf numFmtId="8" fontId="3" fillId="3" borderId="2" xfId="0" applyNumberFormat="1" applyFont="1" applyFill="1" applyBorder="1"/>
    <xf numFmtId="9" fontId="0" fillId="0" borderId="0" xfId="0" applyNumberFormat="1"/>
    <xf numFmtId="0" fontId="0" fillId="3" borderId="2" xfId="0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left"/>
    </xf>
    <xf numFmtId="8" fontId="3" fillId="3" borderId="7" xfId="0" applyNumberFormat="1" applyFont="1" applyFill="1" applyBorder="1"/>
    <xf numFmtId="0" fontId="3" fillId="3" borderId="8" xfId="0" applyFont="1" applyFill="1" applyBorder="1" applyAlignment="1">
      <alignment horizontal="left"/>
    </xf>
    <xf numFmtId="8" fontId="3" fillId="3" borderId="9" xfId="0" applyNumberFormat="1" applyFont="1" applyFill="1" applyBorder="1"/>
    <xf numFmtId="8" fontId="3" fillId="3" borderId="10" xfId="0" applyNumberFormat="1" applyFont="1" applyFill="1" applyBorder="1"/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left"/>
    </xf>
    <xf numFmtId="168" fontId="0" fillId="0" borderId="7" xfId="1" applyNumberFormat="1" applyFont="1" applyBorder="1"/>
    <xf numFmtId="0" fontId="0" fillId="0" borderId="7" xfId="0" applyBorder="1"/>
    <xf numFmtId="165" fontId="0" fillId="0" borderId="7" xfId="0" applyNumberFormat="1" applyBorder="1"/>
    <xf numFmtId="0" fontId="3" fillId="3" borderId="6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44" fontId="0" fillId="0" borderId="7" xfId="1" applyFont="1" applyFill="1" applyBorder="1"/>
    <xf numFmtId="164" fontId="0" fillId="0" borderId="7" xfId="0" applyNumberFormat="1" applyFill="1" applyBorder="1"/>
    <xf numFmtId="0" fontId="0" fillId="3" borderId="8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44" fontId="0" fillId="3" borderId="10" xfId="1" applyFont="1" applyFill="1" applyBorder="1"/>
    <xf numFmtId="0" fontId="3" fillId="5" borderId="0" xfId="0" applyFont="1" applyFill="1" applyBorder="1" applyAlignment="1">
      <alignment horizontal="left"/>
    </xf>
    <xf numFmtId="0" fontId="0" fillId="5" borderId="0" xfId="0" applyFill="1"/>
    <xf numFmtId="0" fontId="3" fillId="6" borderId="0" xfId="0" applyFont="1" applyFill="1" applyBorder="1" applyAlignment="1">
      <alignment horizontal="left"/>
    </xf>
    <xf numFmtId="0" fontId="0" fillId="6" borderId="0" xfId="0" applyFill="1"/>
    <xf numFmtId="44" fontId="0" fillId="6" borderId="0" xfId="0" applyNumberFormat="1" applyFill="1"/>
    <xf numFmtId="0" fontId="0" fillId="5" borderId="0" xfId="0" applyFill="1" applyAlignment="1">
      <alignment horizontal="center"/>
    </xf>
    <xf numFmtId="0" fontId="3" fillId="6" borderId="0" xfId="0" applyFont="1" applyFill="1"/>
    <xf numFmtId="9" fontId="3" fillId="6" borderId="0" xfId="0" applyNumberFormat="1" applyFont="1" applyFill="1"/>
    <xf numFmtId="44" fontId="3" fillId="6" borderId="0" xfId="0" applyNumberFormat="1" applyFont="1" applyFill="1"/>
    <xf numFmtId="0" fontId="3" fillId="6" borderId="0" xfId="0" applyFont="1" applyFill="1" applyAlignment="1">
      <alignment horizontal="center"/>
    </xf>
    <xf numFmtId="44" fontId="0" fillId="3" borderId="0" xfId="0" applyNumberFormat="1" applyFill="1"/>
    <xf numFmtId="0" fontId="0" fillId="0" borderId="1" xfId="0" applyBorder="1"/>
    <xf numFmtId="9" fontId="0" fillId="0" borderId="1" xfId="0" applyNumberFormat="1" applyBorder="1"/>
    <xf numFmtId="9" fontId="0" fillId="0" borderId="0" xfId="0" applyNumberFormat="1" applyBorder="1"/>
    <xf numFmtId="0" fontId="0" fillId="0" borderId="11" xfId="0" applyBorder="1"/>
    <xf numFmtId="9" fontId="0" fillId="0" borderId="11" xfId="0" applyNumberFormat="1" applyBorder="1"/>
  </cellXfs>
  <cellStyles count="2">
    <cellStyle name="Moeda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5D84E98A-25F3-422E-8B04-B0B8F1E09B3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Planilha1!$C$27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Planilha1!$B$28:$B$33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Planilha1!$C$28:$C$33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3-4D4C-B90C-D3CC9616089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34</xdr:row>
      <xdr:rowOff>119061</xdr:rowOff>
    </xdr:from>
    <xdr:to>
      <xdr:col>4</xdr:col>
      <xdr:colOff>0</xdr:colOff>
      <xdr:row>47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B65435-5B51-93E5-6733-D9F0D85B8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B15AE-937C-4F8E-A55A-7CE15128D55B}">
  <dimension ref="A4:F51"/>
  <sheetViews>
    <sheetView showGridLines="0" tabSelected="1" topLeftCell="A28" workbookViewId="0">
      <selection activeCell="E37" sqref="E37"/>
    </sheetView>
  </sheetViews>
  <sheetFormatPr defaultColWidth="0" defaultRowHeight="15" x14ac:dyDescent="0.25"/>
  <cols>
    <col min="1" max="1" width="2.5703125" customWidth="1"/>
    <col min="2" max="2" width="27.140625" bestFit="1" customWidth="1"/>
    <col min="3" max="3" width="19.42578125" bestFit="1" customWidth="1"/>
    <col min="4" max="4" width="13.28515625" bestFit="1" customWidth="1"/>
    <col min="5" max="5" width="4.85546875" customWidth="1"/>
    <col min="6" max="6" width="12.28515625" hidden="1"/>
    <col min="7" max="16384" width="9.140625" hidden="1"/>
  </cols>
  <sheetData>
    <row r="4" spans="2:4" ht="15.75" thickBot="1" x14ac:dyDescent="0.3"/>
    <row r="5" spans="2:4" ht="18.75" x14ac:dyDescent="0.25">
      <c r="B5" s="25" t="s">
        <v>13</v>
      </c>
      <c r="C5" s="26"/>
      <c r="D5" s="27"/>
    </row>
    <row r="6" spans="2:4" x14ac:dyDescent="0.25">
      <c r="B6" s="18" t="s">
        <v>14</v>
      </c>
      <c r="C6" s="5"/>
      <c r="D6" s="28">
        <v>4200</v>
      </c>
    </row>
    <row r="7" spans="2:4" x14ac:dyDescent="0.25">
      <c r="B7" s="18" t="s">
        <v>15</v>
      </c>
      <c r="C7" s="5"/>
      <c r="D7" s="29">
        <v>6.0000000000000001E-3</v>
      </c>
    </row>
    <row r="8" spans="2:4" ht="15.75" thickBot="1" x14ac:dyDescent="0.3">
      <c r="B8" s="30" t="s">
        <v>16</v>
      </c>
      <c r="C8" s="31"/>
      <c r="D8" s="32">
        <f>D6*0.3</f>
        <v>1260</v>
      </c>
    </row>
    <row r="9" spans="2:4" ht="15.75" thickBot="1" x14ac:dyDescent="0.3"/>
    <row r="10" spans="2:4" ht="40.5" customHeight="1" x14ac:dyDescent="0.25">
      <c r="B10" s="15" t="s">
        <v>5</v>
      </c>
      <c r="C10" s="16"/>
      <c r="D10" s="17"/>
    </row>
    <row r="11" spans="2:4" x14ac:dyDescent="0.25">
      <c r="B11" s="18" t="s">
        <v>0</v>
      </c>
      <c r="C11" s="5"/>
      <c r="D11" s="19">
        <f>D8</f>
        <v>1260</v>
      </c>
    </row>
    <row r="12" spans="2:4" x14ac:dyDescent="0.25">
      <c r="B12" s="18" t="s">
        <v>1</v>
      </c>
      <c r="C12" s="5"/>
      <c r="D12" s="20">
        <v>10</v>
      </c>
    </row>
    <row r="13" spans="2:4" x14ac:dyDescent="0.25">
      <c r="B13" s="18" t="s">
        <v>2</v>
      </c>
      <c r="C13" s="5"/>
      <c r="D13" s="21">
        <v>1.0789999999999999E-2</v>
      </c>
    </row>
    <row r="14" spans="2:4" x14ac:dyDescent="0.25">
      <c r="B14" s="22" t="s">
        <v>4</v>
      </c>
      <c r="C14" s="6"/>
      <c r="D14" s="11">
        <f>FV(D13,D12*12,-D11,,0)</f>
        <v>306538.10778801696</v>
      </c>
    </row>
    <row r="15" spans="2:4" ht="15.75" thickBot="1" x14ac:dyDescent="0.3">
      <c r="B15" s="23" t="s">
        <v>3</v>
      </c>
      <c r="C15" s="24"/>
      <c r="D15" s="14">
        <f>D14*$D$7</f>
        <v>1839.2286467281017</v>
      </c>
    </row>
    <row r="16" spans="2:4" ht="15.75" thickBot="1" x14ac:dyDescent="0.3"/>
    <row r="17" spans="1:4" ht="18.75" x14ac:dyDescent="0.25">
      <c r="B17" s="7" t="s">
        <v>11</v>
      </c>
      <c r="C17" s="8" t="s">
        <v>17</v>
      </c>
      <c r="D17" s="9" t="s">
        <v>12</v>
      </c>
    </row>
    <row r="18" spans="1:4" x14ac:dyDescent="0.25">
      <c r="A18" s="2">
        <v>2</v>
      </c>
      <c r="B18" s="10" t="s">
        <v>6</v>
      </c>
      <c r="C18" s="3">
        <f>FV($D$13,A18*12,-$D$11)</f>
        <v>34306.810395032975</v>
      </c>
      <c r="D18" s="11">
        <f>C18*$D$7</f>
        <v>205.84086237019787</v>
      </c>
    </row>
    <row r="19" spans="1:4" x14ac:dyDescent="0.25">
      <c r="A19" s="2">
        <v>5</v>
      </c>
      <c r="B19" s="10" t="s">
        <v>7</v>
      </c>
      <c r="C19" s="3">
        <f>FV($D$13,A19*12,-$D$11)</f>
        <v>105558.91163809443</v>
      </c>
      <c r="D19" s="11">
        <f>C19*$D$7</f>
        <v>633.35346982856663</v>
      </c>
    </row>
    <row r="20" spans="1:4" x14ac:dyDescent="0.25">
      <c r="A20" s="2">
        <v>10</v>
      </c>
      <c r="B20" s="10" t="s">
        <v>8</v>
      </c>
      <c r="C20" s="3">
        <f>FV($D$13,A20*12,-$D$11)</f>
        <v>306538.10778801696</v>
      </c>
      <c r="D20" s="11">
        <f>C20*$D$7</f>
        <v>1839.2286467281017</v>
      </c>
    </row>
    <row r="21" spans="1:4" x14ac:dyDescent="0.25">
      <c r="A21" s="2">
        <v>20</v>
      </c>
      <c r="B21" s="10" t="s">
        <v>9</v>
      </c>
      <c r="C21" s="3">
        <f>FV($D$13,A21*12,-$D$11)</f>
        <v>1417749.9841223215</v>
      </c>
      <c r="D21" s="11">
        <f>C21*$D$7</f>
        <v>8506.4999047339297</v>
      </c>
    </row>
    <row r="22" spans="1:4" ht="15.75" thickBot="1" x14ac:dyDescent="0.3">
      <c r="A22" s="2">
        <v>30</v>
      </c>
      <c r="B22" s="12" t="s">
        <v>10</v>
      </c>
      <c r="C22" s="13">
        <f>FV($D$13,A22*12,-$D$11)</f>
        <v>5445933.7653059401</v>
      </c>
      <c r="D22" s="14">
        <f>C22*$D$7</f>
        <v>32675.602591835643</v>
      </c>
    </row>
    <row r="24" spans="1:4" x14ac:dyDescent="0.25">
      <c r="B24" s="33" t="s">
        <v>18</v>
      </c>
      <c r="C24" s="34"/>
      <c r="D24" s="38" t="s">
        <v>20</v>
      </c>
    </row>
    <row r="25" spans="1:4" x14ac:dyDescent="0.25">
      <c r="B25" s="35" t="s">
        <v>19</v>
      </c>
      <c r="C25" s="36"/>
      <c r="D25" s="37">
        <f>D8</f>
        <v>1260</v>
      </c>
    </row>
    <row r="27" spans="1:4" x14ac:dyDescent="0.25">
      <c r="B27" s="42" t="s">
        <v>21</v>
      </c>
      <c r="C27" s="42" t="s">
        <v>28</v>
      </c>
      <c r="D27" s="42" t="s">
        <v>29</v>
      </c>
    </row>
    <row r="28" spans="1:4" x14ac:dyDescent="0.25">
      <c r="B28" t="s">
        <v>22</v>
      </c>
      <c r="C28" s="4">
        <f>VLOOKUP($D$24&amp;B28,Planilha2!$A$3:$D$20,4,0)</f>
        <v>0.3</v>
      </c>
      <c r="D28" s="43">
        <f>$D$25*C28</f>
        <v>378</v>
      </c>
    </row>
    <row r="29" spans="1:4" x14ac:dyDescent="0.25">
      <c r="B29" t="s">
        <v>23</v>
      </c>
      <c r="C29" s="4">
        <f>VLOOKUP($D$24&amp;B29,Planilha2!$A$3:$D$20,4,0)</f>
        <v>0.5</v>
      </c>
      <c r="D29" s="43">
        <f t="shared" ref="D29:D33" si="0">$D$25*C29</f>
        <v>630</v>
      </c>
    </row>
    <row r="30" spans="1:4" x14ac:dyDescent="0.25">
      <c r="B30" t="s">
        <v>24</v>
      </c>
      <c r="C30" s="4">
        <f>VLOOKUP($D$24&amp;B30,Planilha2!$A$3:$D$20,4,0)</f>
        <v>0.1</v>
      </c>
      <c r="D30" s="43">
        <f t="shared" si="0"/>
        <v>126</v>
      </c>
    </row>
    <row r="31" spans="1:4" x14ac:dyDescent="0.25">
      <c r="B31" t="s">
        <v>25</v>
      </c>
      <c r="C31" s="4">
        <f>VLOOKUP($D$24&amp;B31,Planilha2!$A$3:$D$20,4,0)</f>
        <v>0.1</v>
      </c>
      <c r="D31" s="43">
        <f t="shared" si="0"/>
        <v>126</v>
      </c>
    </row>
    <row r="32" spans="1:4" x14ac:dyDescent="0.25">
      <c r="B32" t="s">
        <v>26</v>
      </c>
      <c r="C32" s="4">
        <f>VLOOKUP($D$24&amp;B32,Planilha2!$A$3:$D$20,4,0)</f>
        <v>0</v>
      </c>
      <c r="D32" s="43">
        <f t="shared" si="0"/>
        <v>0</v>
      </c>
    </row>
    <row r="33" spans="2:4" x14ac:dyDescent="0.25">
      <c r="B33" t="s">
        <v>27</v>
      </c>
      <c r="C33" s="4">
        <f>VLOOKUP($D$24&amp;B33,Planilha2!$A$3:$D$20,4,0)</f>
        <v>0</v>
      </c>
      <c r="D33" s="43">
        <f t="shared" si="0"/>
        <v>0</v>
      </c>
    </row>
    <row r="34" spans="2:4" x14ac:dyDescent="0.25">
      <c r="B34" s="39" t="s">
        <v>30</v>
      </c>
      <c r="C34" s="40">
        <f>SUM(C28:C33)</f>
        <v>1</v>
      </c>
      <c r="D34" s="41">
        <f>SUM(D28:D33)</f>
        <v>1260</v>
      </c>
    </row>
    <row r="49" customFormat="1" x14ac:dyDescent="0.25"/>
    <row r="50" customFormat="1" x14ac:dyDescent="0.25"/>
    <row r="51" customFormat="1" x14ac:dyDescent="0.25"/>
  </sheetData>
  <mergeCells count="10">
    <mergeCell ref="B12:C12"/>
    <mergeCell ref="B13:C13"/>
    <mergeCell ref="B14:C14"/>
    <mergeCell ref="B15:C15"/>
    <mergeCell ref="B10:D10"/>
    <mergeCell ref="B5:D5"/>
    <mergeCell ref="B6:C6"/>
    <mergeCell ref="B7:C7"/>
    <mergeCell ref="B8:C8"/>
    <mergeCell ref="B11:C11"/>
  </mergeCells>
  <dataValidations count="1">
    <dataValidation type="list" allowBlank="1" showInputMessage="1" showErrorMessage="1" sqref="D24" xr:uid="{DD0FB42A-A176-4940-9678-8CEF830EF5B3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6E936-7900-4CE8-8546-CC7F19F2F551}">
  <dimension ref="A2:E20"/>
  <sheetViews>
    <sheetView showGridLines="0" workbookViewId="0">
      <selection activeCell="E4" sqref="E4"/>
    </sheetView>
  </sheetViews>
  <sheetFormatPr defaultRowHeight="15" x14ac:dyDescent="0.25"/>
  <cols>
    <col min="1" max="1" width="30.140625" bestFit="1" customWidth="1"/>
    <col min="2" max="2" width="12.140625" bestFit="1" customWidth="1"/>
    <col min="3" max="3" width="18.5703125" bestFit="1" customWidth="1"/>
  </cols>
  <sheetData>
    <row r="2" spans="1:5" x14ac:dyDescent="0.25">
      <c r="A2" s="39" t="s">
        <v>33</v>
      </c>
      <c r="B2" s="39" t="s">
        <v>31</v>
      </c>
      <c r="C2" s="42" t="s">
        <v>21</v>
      </c>
      <c r="D2" s="42" t="s">
        <v>32</v>
      </c>
    </row>
    <row r="3" spans="1:5" x14ac:dyDescent="0.25">
      <c r="A3" s="44" t="str">
        <f>B3&amp;C3</f>
        <v>ConservadorPAPEL</v>
      </c>
      <c r="B3" s="44" t="s">
        <v>20</v>
      </c>
      <c r="C3" s="44" t="s">
        <v>22</v>
      </c>
      <c r="D3" s="45">
        <v>0.3</v>
      </c>
      <c r="E3" s="4">
        <f>SUM(D3:D8)</f>
        <v>1</v>
      </c>
    </row>
    <row r="4" spans="1:5" x14ac:dyDescent="0.25">
      <c r="A4" s="1" t="str">
        <f t="shared" ref="A4:A8" si="0">B4&amp;C4</f>
        <v>ConservadorTIJOLO</v>
      </c>
      <c r="B4" s="1" t="s">
        <v>20</v>
      </c>
      <c r="C4" s="1" t="s">
        <v>23</v>
      </c>
      <c r="D4" s="46">
        <v>0.5</v>
      </c>
    </row>
    <row r="5" spans="1:5" x14ac:dyDescent="0.25">
      <c r="A5" s="1" t="str">
        <f t="shared" si="0"/>
        <v>ConservadorHÍBRIDOS</v>
      </c>
      <c r="B5" s="1" t="s">
        <v>20</v>
      </c>
      <c r="C5" s="1" t="s">
        <v>24</v>
      </c>
      <c r="D5" s="46">
        <v>0.1</v>
      </c>
    </row>
    <row r="6" spans="1:5" x14ac:dyDescent="0.25">
      <c r="A6" s="1" t="str">
        <f t="shared" si="0"/>
        <v>ConservadorFOFs</v>
      </c>
      <c r="B6" s="1" t="s">
        <v>20</v>
      </c>
      <c r="C6" s="1" t="s">
        <v>25</v>
      </c>
      <c r="D6" s="46">
        <v>0.1</v>
      </c>
    </row>
    <row r="7" spans="1:5" x14ac:dyDescent="0.25">
      <c r="A7" s="1" t="str">
        <f t="shared" si="0"/>
        <v>ConservadorDESENVOLVIMENTO</v>
      </c>
      <c r="B7" s="1" t="s">
        <v>20</v>
      </c>
      <c r="C7" s="1" t="s">
        <v>26</v>
      </c>
      <c r="D7" s="46">
        <v>0</v>
      </c>
    </row>
    <row r="8" spans="1:5" x14ac:dyDescent="0.25">
      <c r="A8" s="1" t="str">
        <f t="shared" si="0"/>
        <v>ConservadorHOTELARIAS</v>
      </c>
      <c r="B8" s="1" t="s">
        <v>20</v>
      </c>
      <c r="C8" s="1" t="s">
        <v>27</v>
      </c>
      <c r="D8" s="46">
        <v>0</v>
      </c>
    </row>
    <row r="9" spans="1:5" x14ac:dyDescent="0.25">
      <c r="A9" s="44" t="str">
        <f>B9&amp;C9</f>
        <v>ModeradoPAPEL</v>
      </c>
      <c r="B9" s="44" t="s">
        <v>34</v>
      </c>
      <c r="C9" s="44" t="s">
        <v>22</v>
      </c>
      <c r="D9" s="45">
        <v>0.32</v>
      </c>
      <c r="E9" s="4">
        <f>SUM(D9:D14)</f>
        <v>0.99999999999999989</v>
      </c>
    </row>
    <row r="10" spans="1:5" x14ac:dyDescent="0.25">
      <c r="A10" s="1" t="str">
        <f t="shared" ref="A10:A14" si="1">B10&amp;C10</f>
        <v>ModeradoTIJOLO</v>
      </c>
      <c r="B10" s="1" t="s">
        <v>34</v>
      </c>
      <c r="C10" s="1" t="s">
        <v>23</v>
      </c>
      <c r="D10" s="46">
        <v>0.4</v>
      </c>
    </row>
    <row r="11" spans="1:5" x14ac:dyDescent="0.25">
      <c r="A11" s="1" t="str">
        <f t="shared" si="1"/>
        <v>ModeradoHÍBRIDOS</v>
      </c>
      <c r="B11" s="1" t="s">
        <v>34</v>
      </c>
      <c r="C11" s="1" t="s">
        <v>24</v>
      </c>
      <c r="D11" s="46">
        <v>0.08</v>
      </c>
    </row>
    <row r="12" spans="1:5" x14ac:dyDescent="0.25">
      <c r="A12" s="1" t="str">
        <f t="shared" si="1"/>
        <v>ModeradoFOFs</v>
      </c>
      <c r="B12" s="1" t="s">
        <v>34</v>
      </c>
      <c r="C12" s="1" t="s">
        <v>25</v>
      </c>
      <c r="D12" s="46">
        <v>0.1</v>
      </c>
    </row>
    <row r="13" spans="1:5" x14ac:dyDescent="0.25">
      <c r="A13" s="1" t="str">
        <f t="shared" si="1"/>
        <v>ModeradoDESENVOLVIMENTO</v>
      </c>
      <c r="B13" s="1" t="s">
        <v>34</v>
      </c>
      <c r="C13" s="1" t="s">
        <v>26</v>
      </c>
      <c r="D13" s="46">
        <v>0.1</v>
      </c>
    </row>
    <row r="14" spans="1:5" x14ac:dyDescent="0.25">
      <c r="A14" s="1" t="str">
        <f t="shared" si="1"/>
        <v>ModeradoHOTELARIAS</v>
      </c>
      <c r="B14" s="1" t="s">
        <v>34</v>
      </c>
      <c r="C14" s="1" t="s">
        <v>27</v>
      </c>
      <c r="D14" s="46">
        <v>0</v>
      </c>
    </row>
    <row r="15" spans="1:5" x14ac:dyDescent="0.25">
      <c r="A15" s="44" t="str">
        <f>B15&amp;C15</f>
        <v>AgressivoPAPEL</v>
      </c>
      <c r="B15" s="44" t="s">
        <v>35</v>
      </c>
      <c r="C15" s="44" t="s">
        <v>22</v>
      </c>
      <c r="D15" s="45">
        <v>0.5</v>
      </c>
      <c r="E15" s="4">
        <f>SUM(D15:D20)</f>
        <v>1.0000000000000002</v>
      </c>
    </row>
    <row r="16" spans="1:5" x14ac:dyDescent="0.25">
      <c r="A16" s="1" t="str">
        <f t="shared" ref="A16:A20" si="2">B16&amp;C16</f>
        <v>AgressivoTIJOLO</v>
      </c>
      <c r="B16" s="1" t="s">
        <v>35</v>
      </c>
      <c r="C16" s="1" t="s">
        <v>23</v>
      </c>
      <c r="D16" s="46">
        <v>0.1</v>
      </c>
    </row>
    <row r="17" spans="1:4" x14ac:dyDescent="0.25">
      <c r="A17" s="1" t="str">
        <f t="shared" si="2"/>
        <v>AgressivoHÍBRIDOS</v>
      </c>
      <c r="B17" s="1" t="s">
        <v>35</v>
      </c>
      <c r="C17" s="1" t="s">
        <v>24</v>
      </c>
      <c r="D17" s="46">
        <v>0.05</v>
      </c>
    </row>
    <row r="18" spans="1:4" x14ac:dyDescent="0.25">
      <c r="A18" s="1" t="str">
        <f t="shared" si="2"/>
        <v>AgressivoFOFs</v>
      </c>
      <c r="B18" s="1" t="s">
        <v>35</v>
      </c>
      <c r="C18" s="1" t="s">
        <v>25</v>
      </c>
      <c r="D18" s="46">
        <v>0.05</v>
      </c>
    </row>
    <row r="19" spans="1:4" x14ac:dyDescent="0.25">
      <c r="A19" s="1" t="str">
        <f t="shared" si="2"/>
        <v>AgressivoDESENVOLVIMENTO</v>
      </c>
      <c r="B19" s="1" t="s">
        <v>35</v>
      </c>
      <c r="C19" s="1" t="s">
        <v>26</v>
      </c>
      <c r="D19" s="46">
        <v>0.2</v>
      </c>
    </row>
    <row r="20" spans="1:4" ht="15.75" thickBot="1" x14ac:dyDescent="0.3">
      <c r="A20" s="47" t="str">
        <f t="shared" si="2"/>
        <v>AgressivoHOTELARIAS</v>
      </c>
      <c r="B20" s="47" t="s">
        <v>35</v>
      </c>
      <c r="C20" s="47" t="s">
        <v>27</v>
      </c>
      <c r="D20" s="4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Planilha1</vt:lpstr>
      <vt:lpstr>Planilha2</vt:lpstr>
      <vt:lpstr>rendimento_carteira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Nycolas Cardoso</dc:creator>
  <cp:lastModifiedBy>Nycolas Cardoso</cp:lastModifiedBy>
  <dcterms:created xsi:type="dcterms:W3CDTF">2026-01-04T23:55:00Z</dcterms:created>
  <dcterms:modified xsi:type="dcterms:W3CDTF">2026-01-05T00:45:39Z</dcterms:modified>
</cp:coreProperties>
</file>